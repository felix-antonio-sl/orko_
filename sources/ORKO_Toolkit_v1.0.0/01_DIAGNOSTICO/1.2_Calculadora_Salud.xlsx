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ZARD" sheetId="1" state="visible" r:id="rId1"/>
    <sheet name="Inputs" sheetId="2" state="visible" r:id="rId2"/>
    <sheet name="Parametros" sheetId="3" state="visible" r:id="rId3"/>
    <sheet name="Calculos" sheetId="4" state="visible" r:id="rId4"/>
    <sheet name="Outputs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E6E6"/>
        <b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🧙 ASISTENTE DE TRANSCRIPCIÓN</t>
        </is>
      </c>
    </row>
    <row r="3"/>
    <row r="5">
      <c r="B5" s="2" t="inlineStr">
        <is>
          <t>PASO 1</t>
        </is>
      </c>
      <c r="C5" t="inlineStr">
        <is>
          <t>Abra su archivo 'T00_Inventario_Maestro.xlsx'</t>
        </is>
      </c>
    </row>
    <row r="7">
      <c r="B7" s="2" t="inlineStr">
        <is>
          <t>PASO 2</t>
        </is>
      </c>
      <c r="C7" t="inlineStr">
        <is>
          <t>Vaya a la pestaña 'DASHBOARD'</t>
        </is>
      </c>
    </row>
    <row r="9">
      <c r="B9" s="2" t="inlineStr">
        <is>
          <t>PASO 3</t>
        </is>
      </c>
      <c r="C9" t="inlineStr">
        <is>
          <t>Copie los valores de la columna B (Totales y Activos)</t>
        </is>
      </c>
    </row>
    <row r="11">
      <c r="B11" s="2" t="inlineStr">
        <is>
          <t>PASO 4</t>
        </is>
      </c>
      <c r="C11" t="inlineStr">
        <is>
          <t>Vaya a la pestaña 'Inputs' de este archivo y péguelos en la columna C</t>
        </is>
      </c>
    </row>
    <row r="13">
      <c r="B13" s="2" t="inlineStr">
        <is>
          <t>PASO 5</t>
        </is>
      </c>
      <c r="C13" t="inlineStr">
        <is>
          <t>¡Listo! Vea sus resultados en la pestaña 'Outputs'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4" max="4"/>
  </cols>
  <sheetData>
    <row r="1">
      <c r="A1" s="3" t="inlineStr">
        <is>
          <t>INPUTS - DATOS DEL INVENTARIO (T00)</t>
        </is>
      </c>
    </row>
    <row r="2">
      <c r="A2" s="4" t="inlineStr">
        <is>
          <t>Variable</t>
        </is>
      </c>
      <c r="C2" s="4" t="inlineStr">
        <is>
          <t>Valor</t>
        </is>
      </c>
      <c r="D2" s="4" t="inlineStr">
        <is>
          <t>Origen T00 (Dashboard)</t>
        </is>
      </c>
    </row>
    <row r="3">
      <c r="A3" t="inlineStr">
        <is>
          <t>Total_Capacidades_P1</t>
        </is>
      </c>
      <c r="C3" t="n">
        <v>0</v>
      </c>
      <c r="D3" t="inlineStr">
        <is>
          <t>Copiar de T00 Dashboard B3</t>
        </is>
      </c>
    </row>
    <row r="4">
      <c r="A4" t="inlineStr">
        <is>
          <t>Capacidades_Activas_P1</t>
        </is>
      </c>
      <c r="C4" t="n">
        <v>0</v>
      </c>
      <c r="D4" t="inlineStr">
        <is>
          <t>Copiar de T00 Dashboard B4</t>
        </is>
      </c>
    </row>
    <row r="5">
      <c r="A5" t="inlineStr">
        <is>
          <t>Total_Flujos_P2</t>
        </is>
      </c>
      <c r="C5" t="n">
        <v>0</v>
      </c>
      <c r="D5" t="inlineStr">
        <is>
          <t>Copiar de T00 Dashboard B7</t>
        </is>
      </c>
    </row>
    <row r="6">
      <c r="A6" t="inlineStr">
        <is>
          <t>Flujos_Automatizados_P2</t>
        </is>
      </c>
      <c r="C6" t="n">
        <v>0</v>
      </c>
      <c r="D6" t="inlineStr">
        <is>
          <t>Copiar de T00 Dashboard B8</t>
        </is>
      </c>
    </row>
    <row r="7">
      <c r="A7" t="inlineStr">
        <is>
          <t>Total_Activos_Info_P3</t>
        </is>
      </c>
      <c r="C7" t="n">
        <v>0</v>
      </c>
      <c r="D7" t="inlineStr">
        <is>
          <t>Copiar de T00 Dashboard B11</t>
        </is>
      </c>
    </row>
    <row r="8">
      <c r="A8" t="inlineStr">
        <is>
          <t>Calidad_Promedio_P3</t>
        </is>
      </c>
      <c r="C8" t="n">
        <v>0</v>
      </c>
      <c r="D8" t="inlineStr">
        <is>
          <t>Copiar de T00 Dashboard B12</t>
        </is>
      </c>
    </row>
    <row r="9">
      <c r="A9" t="inlineStr"/>
      <c r="C9" t="inlineStr"/>
      <c r="D9" t="inlineStr"/>
    </row>
    <row r="10">
      <c r="A10" t="inlineStr">
        <is>
          <t>Contexto Organizacional</t>
        </is>
      </c>
      <c r="C10" t="inlineStr"/>
      <c r="D10" t="inlineStr">
        <is>
          <t>(Manual)</t>
        </is>
      </c>
    </row>
    <row r="11">
      <c r="A11" t="inlineStr">
        <is>
          <t>org_size</t>
        </is>
      </c>
      <c r="C11" t="n">
        <v>50</v>
      </c>
      <c r="D11" t="inlineStr">
        <is>
          <t>Número de personas</t>
        </is>
      </c>
    </row>
    <row r="12">
      <c r="A12" t="inlineStr">
        <is>
          <t>context_complexity</t>
        </is>
      </c>
      <c r="C12" t="n">
        <v>3</v>
      </c>
      <c r="D12" t="inlineStr">
        <is>
          <t>Escala 1-5</t>
        </is>
      </c>
    </row>
    <row r="13">
      <c r="A13" t="inlineStr">
        <is>
          <t>budget_available</t>
        </is>
      </c>
      <c r="C13" t="n">
        <v>50000000</v>
      </c>
      <c r="D13" t="inlineStr">
        <is>
          <t>CLP/USD</t>
        </is>
      </c>
    </row>
    <row r="14">
      <c r="A14" t="inlineStr">
        <is>
          <t>strategic_clarity</t>
        </is>
      </c>
      <c r="C14" t="n">
        <v>60</v>
      </c>
      <c r="D14" t="inlineStr">
        <is>
          <t>% (0-100)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PARAMETROS Y PESOS</t>
        </is>
      </c>
    </row>
    <row r="2">
      <c r="A2" s="4" t="inlineStr">
        <is>
          <t>Parámetro</t>
        </is>
      </c>
      <c r="C2" s="4" t="inlineStr">
        <is>
          <t>Valor</t>
        </is>
      </c>
      <c r="D2" s="4" t="inlineStr">
        <is>
          <t>Descripción</t>
        </is>
      </c>
    </row>
    <row r="3">
      <c r="A3" t="inlineStr">
        <is>
          <t>w_A</t>
        </is>
      </c>
      <c r="C3" t="n">
        <v>0.33</v>
      </c>
      <c r="D3" t="inlineStr">
        <is>
          <t>Peso Alignment</t>
        </is>
      </c>
    </row>
    <row r="4">
      <c r="A4" t="inlineStr">
        <is>
          <t>w_P</t>
        </is>
      </c>
      <c r="C4" t="n">
        <v>0.33</v>
      </c>
      <c r="D4" t="inlineStr">
        <is>
          <t>Peso Performance</t>
        </is>
      </c>
    </row>
    <row r="5">
      <c r="A5" t="inlineStr">
        <is>
          <t>w_D</t>
        </is>
      </c>
      <c r="C5" t="n">
        <v>0.34</v>
      </c>
      <c r="D5" t="inlineStr">
        <is>
          <t>Peso Development</t>
        </is>
      </c>
    </row>
    <row r="6">
      <c r="A6" t="inlineStr"/>
      <c r="C6" t="inlineStr"/>
      <c r="D6" t="inlineStr"/>
    </row>
    <row r="7">
      <c r="A7" t="inlineStr">
        <is>
          <t>TF1_weight</t>
        </is>
      </c>
      <c r="C7" t="n">
        <v>0.4</v>
      </c>
      <c r="D7" t="inlineStr">
        <is>
          <t>Peso tejido TF1 (Capacity)</t>
        </is>
      </c>
    </row>
    <row r="8">
      <c r="A8" t="inlineStr">
        <is>
          <t>TF2_weight</t>
        </is>
      </c>
      <c r="C8" t="n">
        <v>0.35</v>
      </c>
      <c r="D8" t="inlineStr">
        <is>
          <t>Peso tejido TF2 (Flow)</t>
        </is>
      </c>
    </row>
    <row r="9">
      <c r="A9" t="inlineStr">
        <is>
          <t>TF3_weight</t>
        </is>
      </c>
      <c r="C9" t="n">
        <v>0.25</v>
      </c>
      <c r="D9" t="inlineStr">
        <is>
          <t>Peso tejido TF3 (Information)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CALCULOS INTERMEDIOS</t>
        </is>
      </c>
    </row>
    <row r="2">
      <c r="A2" s="5" t="inlineStr">
        <is>
          <t>Métrica</t>
        </is>
      </c>
      <c r="C2" s="5" t="inlineStr">
        <is>
          <t>Valor</t>
        </is>
      </c>
    </row>
    <row r="3">
      <c r="A3" t="inlineStr">
        <is>
          <t>TF1_Score</t>
        </is>
      </c>
      <c r="C3">
        <f>IF(Inputs!C3&gt;0, Inputs!C4/Inputs!C3, 0)</f>
        <v/>
      </c>
    </row>
    <row r="4">
      <c r="A4" t="inlineStr">
        <is>
          <t>TF2_Score</t>
        </is>
      </c>
      <c r="C4">
        <f>IF(Inputs!C5&gt;0, Inputs!C6/Inputs!C5, 0)</f>
        <v/>
      </c>
    </row>
    <row r="5">
      <c r="A5" t="inlineStr">
        <is>
          <t>TF3_Score</t>
        </is>
      </c>
      <c r="C5">
        <f>IF(Inputs!C8&gt;0, Inputs!C8/5, 0)</f>
        <v/>
      </c>
    </row>
    <row r="7">
      <c r="A7" t="inlineStr">
        <is>
          <t>A_Score (Alignment)</t>
        </is>
      </c>
      <c r="C7">
        <f>(Inputs!C14/100)*0.6 + C3*0.4</f>
        <v/>
      </c>
    </row>
    <row r="8">
      <c r="A8" t="inlineStr">
        <is>
          <t>P_Score (Performance)</t>
        </is>
      </c>
      <c r="C8">
        <f>C4*0.7 + 0.3</f>
        <v/>
      </c>
    </row>
    <row r="9">
      <c r="A9" t="inlineStr">
        <is>
          <t>D_Score (Development)</t>
        </is>
      </c>
      <c r="C9">
        <f>C5*0.6 + 0.4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OUTPUTS - HEALTH SCORE</t>
        </is>
      </c>
    </row>
    <row r="2">
      <c r="A2" s="5" t="inlineStr">
        <is>
          <t>Métrica</t>
        </is>
      </c>
      <c r="C2" s="5" t="inlineStr">
        <is>
          <t>Valor</t>
        </is>
      </c>
    </row>
    <row r="3">
      <c r="A3" t="inlineStr">
        <is>
          <t>H_org</t>
        </is>
      </c>
      <c r="C3" s="6">
        <f>Parametros!C3*Calculos!C7 + Parametros!C4*Calculos!C8 + Parametros!C5*Calculos!C9</f>
        <v/>
      </c>
    </row>
    <row r="4">
      <c r="A4" t="inlineStr">
        <is>
          <t>Health_Band</t>
        </is>
      </c>
      <c r="C4">
        <f>IF(C3&lt;0.35,"G1-Crítico",IF(C3&lt;0.55,"G2-Bajo",IF(C3&lt;0.75,"G3-Aceptable","G4-Saludable")))</f>
        <v/>
      </c>
    </row>
    <row r="6">
      <c r="A6" t="inlineStr">
        <is>
          <t>A_Score</t>
        </is>
      </c>
      <c r="C6" s="6">
        <f>Calculos!C7</f>
        <v/>
      </c>
    </row>
    <row r="7">
      <c r="A7" t="inlineStr">
        <is>
          <t>P_Score</t>
        </is>
      </c>
      <c r="C7" s="6">
        <f>Calculos!C8</f>
        <v/>
      </c>
    </row>
    <row r="8">
      <c r="A8" t="inlineStr">
        <is>
          <t>D_Score</t>
        </is>
      </c>
      <c r="C8" s="6">
        <f>Calculos!C9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METADATA Y TRAZABILIDAD</t>
        </is>
      </c>
    </row>
    <row r="3">
      <c r="A3" t="inlineStr">
        <is>
          <t>Version</t>
        </is>
      </c>
      <c r="C3" t="inlineStr">
        <is>
          <t>1.0.0-CAP22</t>
        </is>
      </c>
    </row>
    <row r="4">
      <c r="A4" t="inlineStr">
        <is>
          <t>Fecha</t>
        </is>
      </c>
      <c r="C4" t="inlineStr">
        <is>
          <t>2025-11-18</t>
        </is>
      </c>
    </row>
    <row r="5">
      <c r="A5" t="inlineStr">
        <is>
          <t>Fuente</t>
        </is>
      </c>
      <c r="C5" t="inlineStr">
        <is>
          <t>CALCULADORAS_P0_SPEC.md § 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2025-11-18T18:43:13Z</dcterms:created>
  <dcterms:modified xsi:type="dcterms:W3CDTF">2025-11-18T18:43:13Z</dcterms:modified>
</cp:coreProperties>
</file>