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6_Current" sheetId="1" state="visible" r:id="rId1"/>
    <sheet name="E6_Target" sheetId="2" state="visible" r:id="rId2"/>
    <sheet name="Parametros" sheetId="3" state="visible" r:id="rId3"/>
    <sheet name="Gap_Analysis" sheetId="4" state="visible" r:id="rId4"/>
    <sheet name="Projections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CONVERGENCE TRACKER - ESTADO ACTUAL (E6)</t>
        </is>
      </c>
    </row>
    <row r="2">
      <c r="A2" s="2" t="inlineStr">
        <is>
          <t>Variable</t>
        </is>
      </c>
      <c r="C2" s="2" t="inlineStr">
        <is>
          <t>Valor</t>
        </is>
      </c>
      <c r="D2" s="2" t="inlineStr">
        <is>
          <t>Descripción</t>
        </is>
      </c>
    </row>
    <row r="3">
      <c r="A3" t="inlineStr">
        <is>
          <t>TF1_current_capacity_count</t>
        </is>
      </c>
      <c r="C3" t="n">
        <v>5</v>
      </c>
      <c r="D3" t="inlineStr">
        <is>
          <t>Capacidades desplegadas actuales</t>
        </is>
      </c>
    </row>
    <row r="4">
      <c r="A4" t="inlineStr">
        <is>
          <t>TF2_current_flow_count</t>
        </is>
      </c>
      <c r="C4" t="n">
        <v>3</v>
      </c>
      <c r="D4" t="inlineStr">
        <is>
          <t>Flujos instrumentados actuales</t>
        </is>
      </c>
    </row>
    <row r="5">
      <c r="A5" t="inlineStr">
        <is>
          <t>TF3_current_info_artifacts</t>
        </is>
      </c>
      <c r="C5" t="n">
        <v>8</v>
      </c>
      <c r="D5" t="inlineStr">
        <is>
          <t>Artefactos info actuales</t>
        </is>
      </c>
    </row>
    <row r="6">
      <c r="A6" t="inlineStr">
        <is>
          <t>H_org_current</t>
        </is>
      </c>
      <c r="C6" t="n">
        <v>0.55</v>
      </c>
      <c r="D6" t="inlineStr">
        <is>
          <t>Health score actual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 OBJETIVO (E6 Target)</t>
        </is>
      </c>
    </row>
    <row r="2">
      <c r="A2" s="2" t="inlineStr">
        <is>
          <t>Variable</t>
        </is>
      </c>
      <c r="C2" s="2" t="inlineStr">
        <is>
          <t>Valor</t>
        </is>
      </c>
      <c r="D2" s="2" t="inlineStr">
        <is>
          <t>Descripción</t>
        </is>
      </c>
    </row>
    <row r="3">
      <c r="A3" t="inlineStr">
        <is>
          <t>TF1_target_capacity_count</t>
        </is>
      </c>
      <c r="C3" t="n">
        <v>12</v>
      </c>
      <c r="D3" t="inlineStr">
        <is>
          <t>Capacidades objetivo</t>
        </is>
      </c>
    </row>
    <row r="4">
      <c r="A4" t="inlineStr">
        <is>
          <t>TF2_target_flow_count</t>
        </is>
      </c>
      <c r="C4" t="n">
        <v>8</v>
      </c>
      <c r="D4" t="inlineStr">
        <is>
          <t>Flujos objetivo</t>
        </is>
      </c>
    </row>
    <row r="5">
      <c r="A5" t="inlineStr">
        <is>
          <t>TF3_target_info_artifacts</t>
        </is>
      </c>
      <c r="C5" t="n">
        <v>20</v>
      </c>
      <c r="D5" t="inlineStr">
        <is>
          <t>Artefactos info objetivo</t>
        </is>
      </c>
    </row>
    <row r="6">
      <c r="A6" t="inlineStr">
        <is>
          <t>H_org_target</t>
        </is>
      </c>
      <c r="C6" t="n">
        <v>0.75</v>
      </c>
      <c r="D6" t="inlineStr">
        <is>
          <t>Health score objetivo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 - PESOS CONVERGENCIA</t>
        </is>
      </c>
    </row>
    <row r="3">
      <c r="A3" t="inlineStr">
        <is>
          <t>w_TF1</t>
        </is>
      </c>
      <c r="C3" t="n">
        <v>0.35</v>
      </c>
      <c r="D3" t="inlineStr">
        <is>
          <t>Peso tejido TF1</t>
        </is>
      </c>
    </row>
    <row r="4">
      <c r="A4" t="inlineStr">
        <is>
          <t>w_TF2</t>
        </is>
      </c>
      <c r="C4" t="n">
        <v>0.3</v>
      </c>
      <c r="D4" t="inlineStr">
        <is>
          <t>Peso tejido TF2</t>
        </is>
      </c>
    </row>
    <row r="5">
      <c r="A5" t="inlineStr">
        <is>
          <t>w_TF3</t>
        </is>
      </c>
      <c r="C5" t="n">
        <v>0.2</v>
      </c>
      <c r="D5" t="inlineStr">
        <is>
          <t>Peso tejido TF3</t>
        </is>
      </c>
    </row>
    <row r="6">
      <c r="A6" t="inlineStr">
        <is>
          <t>w_H_org</t>
        </is>
      </c>
      <c r="C6" t="n">
        <v>0.15</v>
      </c>
      <c r="D6" t="inlineStr">
        <is>
          <t>Peso H_org global</t>
        </is>
      </c>
    </row>
    <row r="8">
      <c r="A8" t="inlineStr">
        <is>
          <t>convergence_threshold</t>
        </is>
      </c>
      <c r="C8" t="n">
        <v>0.8</v>
      </c>
      <c r="D8" t="inlineStr">
        <is>
          <t>Umbral 'Converged'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 DE GAP Y CONVERGENCIA</t>
        </is>
      </c>
    </row>
    <row r="2">
      <c r="A2" s="2" t="inlineStr">
        <is>
          <t>Métrica</t>
        </is>
      </c>
      <c r="C2" s="2" t="inlineStr">
        <is>
          <t>Valor</t>
        </is>
      </c>
    </row>
    <row r="3">
      <c r="A3" t="inlineStr">
        <is>
          <t>TF1_convergence_ratio</t>
        </is>
      </c>
      <c r="C3" s="3">
        <f>MIN(1, E6_Current!C3/E6_Target!C3)</f>
        <v/>
      </c>
    </row>
    <row r="4">
      <c r="A4" t="inlineStr">
        <is>
          <t>TF2_convergence_ratio</t>
        </is>
      </c>
      <c r="C4" s="3">
        <f>MIN(1, E6_Current!C4/E6_Target!C4)</f>
        <v/>
      </c>
    </row>
    <row r="5">
      <c r="A5" t="inlineStr">
        <is>
          <t>TF3_convergence_ratio</t>
        </is>
      </c>
      <c r="C5" s="3">
        <f>MIN(1, E6_Current!C5/E6_Target!C5)</f>
        <v/>
      </c>
    </row>
    <row r="6">
      <c r="A6" t="inlineStr">
        <is>
          <t>H_org_convergence_ratio</t>
        </is>
      </c>
      <c r="C6" s="3">
        <f>MIN(1, E6_Current!C6/E6_Target!C6)</f>
        <v/>
      </c>
    </row>
    <row r="8">
      <c r="A8" t="inlineStr">
        <is>
          <t>Convergence_Score</t>
        </is>
      </c>
      <c r="C8" s="3">
        <f>Parametros!C3*C3 + Parametros!C4*C4 + Parametros!C5*C5 + Parametros!C6*C6</f>
        <v/>
      </c>
    </row>
    <row r="9">
      <c r="A9" t="inlineStr">
        <is>
          <t>Convergence_Status</t>
        </is>
      </c>
      <c r="C9">
        <f>IF(C8&gt;=Parametros!C8,"Converged",IF(C8&gt;=0.5,"In Progress","Lagging"))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PROYECCIONES TEMPORALES</t>
        </is>
      </c>
    </row>
    <row r="3">
      <c r="A3" t="inlineStr">
        <is>
          <t>Status</t>
        </is>
      </c>
      <c r="C3">
        <f>Gap_Analysis!C9</f>
        <v/>
      </c>
    </row>
    <row r="4">
      <c r="A4" t="inlineStr">
        <is>
          <t>Score actual</t>
        </is>
      </c>
      <c r="C4" s="3">
        <f>Gap_Analysis!C8</f>
        <v/>
      </c>
    </row>
    <row r="5">
      <c r="A5" t="inlineStr">
        <is>
          <t>Gap restante</t>
        </is>
      </c>
      <c r="C5" s="3">
        <f>1 - C4</f>
        <v/>
      </c>
    </row>
    <row r="7">
      <c r="A7" t="inlineStr">
        <is>
          <t>Estimación:</t>
        </is>
      </c>
    </row>
    <row r="8">
      <c r="A8" t="inlineStr">
        <is>
          <t>Tiempo estimado a convergencia (meses)</t>
        </is>
      </c>
      <c r="C8">
        <f>IF(Gap_Analysis!C9="Converged",0,IF(Gap_Analysis!C9="In Progress",12,24))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Y TRAZABILIDAD</t>
        </is>
      </c>
    </row>
    <row r="3">
      <c r="A3" t="inlineStr">
        <is>
          <t>Version</t>
        </is>
      </c>
      <c r="C3" t="inlineStr">
        <is>
          <t>1.0.0-CAP22</t>
        </is>
      </c>
    </row>
    <row r="4">
      <c r="A4" t="inlineStr">
        <is>
          <t>Fecha</t>
        </is>
      </c>
      <c r="C4" t="inlineStr">
        <is>
          <t>2025-11-18</t>
        </is>
      </c>
    </row>
    <row r="5">
      <c r="A5" t="inlineStr">
        <is>
          <t>Fuente</t>
        </is>
      </c>
      <c r="C5" t="inlineStr">
        <is>
          <t>CALCULADORAS_P0_SPEC.md § 3.3</t>
        </is>
      </c>
    </row>
    <row r="7">
      <c r="A7" t="inlineStr">
        <is>
          <t>Trazabilidad genoma:</t>
        </is>
      </c>
    </row>
    <row r="8">
      <c r="A8" t="inlineStr">
        <is>
          <t>- Primitivo P5 (Estado E6)</t>
        </is>
      </c>
    </row>
    <row r="9">
      <c r="A9" t="inlineStr">
        <is>
          <t>- Invariante I3 (Coherencia)</t>
        </is>
      </c>
    </row>
    <row r="10">
      <c r="A10" t="inlineStr">
        <is>
          <t>- Tejidos TF1/TF2/TF3</t>
        </is>
      </c>
    </row>
    <row r="11">
      <c r="A11" t="inlineStr">
        <is>
          <t>- Fases F9/F18 (Monitoring/Evolution)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2025-11-18T18:43:13Z</dcterms:created>
  <dcterms:modified xsi:type="dcterms:W3CDTF">2025-11-18T18:43:13Z</dcterms:modified>
</cp:coreProperties>
</file>